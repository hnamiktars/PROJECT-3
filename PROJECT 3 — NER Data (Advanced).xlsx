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167A338-AF11-4C66-8E80-5906AC2DB44D}" xr6:coauthVersionLast="47" xr6:coauthVersionMax="47" xr10:uidLastSave="{00000000-0000-0000-0000-000000000000}"/>
  <bookViews>
    <workbookView xWindow="1080" yWindow="0" windowWidth="11712" windowHeight="12240" xr2:uid="{0E3E4287-2FEC-4FB0-824A-2D4EB84970DB}"/>
  </bookViews>
  <sheets>
    <sheet name="Data" sheetId="1" r:id="rId1"/>
    <sheet name="Guideline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C2" i="3"/>
  <c r="B5" i="3"/>
  <c r="B4" i="3"/>
  <c r="B3" i="3"/>
  <c r="B2" i="3"/>
  <c r="B6" i="3" s="1"/>
</calcChain>
</file>

<file path=xl/sharedStrings.xml><?xml version="1.0" encoding="utf-8"?>
<sst xmlns="http://schemas.openxmlformats.org/spreadsheetml/2006/main" count="202" uniqueCount="97">
  <si>
    <t>ID</t>
  </si>
  <si>
    <t>Text</t>
  </si>
  <si>
    <t>Entity</t>
  </si>
  <si>
    <t>Label</t>
  </si>
  <si>
    <t>김민수는 서울에서 삼성전자에 다닙니다</t>
  </si>
  <si>
    <t>김민수</t>
  </si>
  <si>
    <t>PERSON</t>
  </si>
  <si>
    <t>서울</t>
  </si>
  <si>
    <t>LOCATION</t>
  </si>
  <si>
    <t>삼성전자</t>
  </si>
  <si>
    <t>ORGANIZATION</t>
  </si>
  <si>
    <t>이영희</t>
  </si>
  <si>
    <t>부산대학교</t>
  </si>
  <si>
    <t>박지훈</t>
  </si>
  <si>
    <t>2023년</t>
  </si>
  <si>
    <t>DATE</t>
  </si>
  <si>
    <t>네이버</t>
  </si>
  <si>
    <t>내일</t>
  </si>
  <si>
    <t>김수현</t>
  </si>
  <si>
    <t>한국</t>
  </si>
  <si>
    <t>어제</t>
  </si>
  <si>
    <t>이준호</t>
  </si>
  <si>
    <t>부산</t>
  </si>
  <si>
    <t>김지영</t>
  </si>
  <si>
    <t>카카오</t>
  </si>
  <si>
    <t>박지훈은  2023년에 네이버에 입사했습니다</t>
  </si>
  <si>
    <t>이영희는 부산대학교에서 공부합니다</t>
  </si>
  <si>
    <t>김수현은 내일 서울에 갑니다</t>
  </si>
  <si>
    <t>삼성전자는 한국에서 가장 큰 기업입니다</t>
  </si>
  <si>
    <t>이준호는 어제 부산에서 회의를 했습니다</t>
  </si>
  <si>
    <t>김지영은 카카오에서 일하고 있습니다</t>
  </si>
  <si>
    <t>우리는 다음 주에 서울대학교를 방문할 예정입니다</t>
  </si>
  <si>
    <t>박민수</t>
  </si>
  <si>
    <t>인천</t>
  </si>
  <si>
    <t>LG전자</t>
  </si>
  <si>
    <t>2022년</t>
  </si>
  <si>
    <t>오늘</t>
  </si>
  <si>
    <t>최유진</t>
  </si>
  <si>
    <t>김도현</t>
  </si>
  <si>
    <t>이서연</t>
  </si>
  <si>
    <t>2024년</t>
  </si>
  <si>
    <t>박서준</t>
  </si>
  <si>
    <t>제주도</t>
  </si>
  <si>
    <t>김하늘</t>
  </si>
  <si>
    <t>서울대학교</t>
  </si>
  <si>
    <t>박민수는 인천에 살고 있습니다</t>
  </si>
  <si>
    <t>LG전자는 2022년에 새로운 제품을 출시했습니다</t>
  </si>
  <si>
    <t>최유진은 오늘 네이버 본사에 방문했습니다</t>
  </si>
  <si>
    <t>김도현은 한국에서 태어났습니다</t>
  </si>
  <si>
    <t>우리는 내일 부산에서 만날 예정입니다</t>
  </si>
  <si>
    <t>삼성전자는 서울에 본사를 두고 있습니다</t>
  </si>
  <si>
    <t>이서연은 2024년부터 카카오에서 일합니다</t>
  </si>
  <si>
    <t>박서준은 제주도에 여행을 갔습니다</t>
  </si>
  <si>
    <t>네이버는 한국의 대표적인 IT 기업입니다</t>
  </si>
  <si>
    <t>김하늘은 어제 서울대학교에서 시험을 봤습니다</t>
  </si>
  <si>
    <t>우리는 다음 달에 부산으로 이사합니다</t>
  </si>
  <si>
    <t>다음 달</t>
  </si>
  <si>
    <t>이민호는 삼성전자에서 3년 동안 근무했습니다</t>
  </si>
  <si>
    <t>이민호</t>
  </si>
  <si>
    <t>다음 주</t>
  </si>
  <si>
    <t>Annotation Objective</t>
  </si>
  <si>
    <t>Item</t>
  </si>
  <si>
    <t>Description</t>
  </si>
  <si>
    <t>Task Name</t>
  </si>
  <si>
    <t>Named Entity Recognition</t>
  </si>
  <si>
    <t>Objective</t>
  </si>
  <si>
    <t>Identify and label named entities in Korean text</t>
  </si>
  <si>
    <t>Annotation Unit</t>
  </si>
  <si>
    <t>Entity word or phrase</t>
  </si>
  <si>
    <t>Output</t>
  </si>
  <si>
    <t>Entity label</t>
  </si>
  <si>
    <t>Language</t>
  </si>
  <si>
    <t>Korean</t>
  </si>
  <si>
    <t>Entity Label Definitions</t>
  </si>
  <si>
    <t>Definition</t>
  </si>
  <si>
    <t>Example</t>
  </si>
  <si>
    <t>Name of a person</t>
  </si>
  <si>
    <t>Place, city, country</t>
  </si>
  <si>
    <t>Company, institution</t>
  </si>
  <si>
    <t>Date or time expression</t>
  </si>
  <si>
    <t>Annotation Rules</t>
  </si>
  <si>
    <t>Rule</t>
  </si>
  <si>
    <t>Label only proper nouns</t>
  </si>
  <si>
    <t>Do not label common nouns</t>
  </si>
  <si>
    <t>회사 → Not labeled</t>
  </si>
  <si>
    <t>Label exact entity word</t>
  </si>
  <si>
    <t>Do not label extra words</t>
  </si>
  <si>
    <t>김민수 → PERSON</t>
  </si>
  <si>
    <t>Label longest meaningful entity</t>
  </si>
  <si>
    <t>Avoid splitting entity unnecessarily</t>
  </si>
  <si>
    <t>서울대학교 → ORGANIZATION</t>
  </si>
  <si>
    <t>Example Annotation</t>
  </si>
  <si>
    <t>김민수가 서울에 갔어요</t>
  </si>
  <si>
    <t>Entity Type</t>
  </si>
  <si>
    <t>Count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</si>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</sst>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658E-D876-4C65-B2B9-B70039CA18AC}">
  <dimension ref="A1:D48"/>
  <sheetViews>
    <sheetView tabSelected="1" topLeftCell="A33" workbookViewId="0">
      <selection activeCell="E44" sqref="E44"/>
    </sheetView>
  </sheetViews>
  <sheetFormatPr defaultRowHeight="14.4" x14ac:dyDescent="0.3"/>
  <cols>
    <col min="1" max="1" width="3" style="5" bestFit="1" customWidth="1"/>
    <col min="2" max="2" width="46.21875" style="7" bestFit="1" customWidth="1"/>
    <col min="3" max="3" width="15.109375" bestFit="1" customWidth="1"/>
    <col min="4" max="4" width="14" bestFit="1" customWidth="1"/>
    <col min="5" max="5" width="13.109375" customWidth="1"/>
    <col min="6" max="8" width="14" bestFit="1" customWidth="1"/>
  </cols>
  <sheetData>
    <row r="1" spans="1:4" s="1" customFormat="1" x14ac:dyDescent="0.3">
      <c r="A1" s="4" t="s">
        <v>0</v>
      </c>
      <c r="B1" s="6" t="s">
        <v>1</v>
      </c>
      <c r="C1" s="2" t="s">
        <v>2</v>
      </c>
      <c r="D1" s="2" t="s">
        <v>3</v>
      </c>
    </row>
    <row r="2" spans="1:4" x14ac:dyDescent="0.3">
      <c r="A2" s="8">
        <v>1</v>
      </c>
      <c r="B2" s="10" t="s">
        <v>4</v>
      </c>
      <c r="C2" s="3" t="s">
        <v>5</v>
      </c>
      <c r="D2" s="3" t="s">
        <v>6</v>
      </c>
    </row>
    <row r="3" spans="1:4" x14ac:dyDescent="0.3">
      <c r="A3" s="12"/>
      <c r="B3" s="13"/>
      <c r="C3" s="3" t="s">
        <v>7</v>
      </c>
      <c r="D3" s="3" t="s">
        <v>8</v>
      </c>
    </row>
    <row r="4" spans="1:4" x14ac:dyDescent="0.3">
      <c r="A4" s="9"/>
      <c r="B4" s="11"/>
      <c r="C4" s="3" t="s">
        <v>9</v>
      </c>
      <c r="D4" s="3" t="s">
        <v>10</v>
      </c>
    </row>
    <row r="5" spans="1:4" x14ac:dyDescent="0.3">
      <c r="A5" s="8">
        <v>2</v>
      </c>
      <c r="B5" s="10" t="s">
        <v>26</v>
      </c>
      <c r="C5" s="3" t="s">
        <v>11</v>
      </c>
      <c r="D5" s="3" t="s">
        <v>6</v>
      </c>
    </row>
    <row r="6" spans="1:4" x14ac:dyDescent="0.3">
      <c r="A6" s="9"/>
      <c r="B6" s="11"/>
      <c r="C6" s="3" t="s">
        <v>12</v>
      </c>
      <c r="D6" s="3" t="s">
        <v>10</v>
      </c>
    </row>
    <row r="7" spans="1:4" x14ac:dyDescent="0.3">
      <c r="A7" s="8">
        <v>3</v>
      </c>
      <c r="B7" s="10" t="s">
        <v>25</v>
      </c>
      <c r="C7" s="3" t="s">
        <v>13</v>
      </c>
      <c r="D7" s="3" t="s">
        <v>6</v>
      </c>
    </row>
    <row r="8" spans="1:4" x14ac:dyDescent="0.3">
      <c r="A8" s="12"/>
      <c r="B8" s="13" t="s">
        <v>25</v>
      </c>
      <c r="C8" s="3" t="s">
        <v>14</v>
      </c>
      <c r="D8" s="3" t="s">
        <v>15</v>
      </c>
    </row>
    <row r="9" spans="1:4" x14ac:dyDescent="0.3">
      <c r="A9" s="9"/>
      <c r="B9" s="11" t="s">
        <v>25</v>
      </c>
      <c r="C9" s="3" t="s">
        <v>16</v>
      </c>
      <c r="D9" s="3" t="s">
        <v>10</v>
      </c>
    </row>
    <row r="10" spans="1:4" x14ac:dyDescent="0.3">
      <c r="A10" s="8">
        <v>4</v>
      </c>
      <c r="B10" s="10" t="s">
        <v>27</v>
      </c>
      <c r="C10" s="3" t="s">
        <v>18</v>
      </c>
      <c r="D10" s="3" t="s">
        <v>6</v>
      </c>
    </row>
    <row r="11" spans="1:4" x14ac:dyDescent="0.3">
      <c r="A11" s="12"/>
      <c r="B11" s="13" t="s">
        <v>27</v>
      </c>
      <c r="C11" s="3" t="s">
        <v>17</v>
      </c>
      <c r="D11" s="3" t="s">
        <v>15</v>
      </c>
    </row>
    <row r="12" spans="1:4" x14ac:dyDescent="0.3">
      <c r="A12" s="9"/>
      <c r="B12" s="11" t="s">
        <v>27</v>
      </c>
      <c r="C12" s="3" t="s">
        <v>7</v>
      </c>
      <c r="D12" s="3" t="s">
        <v>8</v>
      </c>
    </row>
    <row r="13" spans="1:4" x14ac:dyDescent="0.3">
      <c r="A13" s="8">
        <v>5</v>
      </c>
      <c r="B13" s="10" t="s">
        <v>28</v>
      </c>
      <c r="C13" s="3" t="s">
        <v>9</v>
      </c>
      <c r="D13" s="3" t="s">
        <v>10</v>
      </c>
    </row>
    <row r="14" spans="1:4" x14ac:dyDescent="0.3">
      <c r="A14" s="9"/>
      <c r="B14" s="11" t="s">
        <v>28</v>
      </c>
      <c r="C14" s="3" t="s">
        <v>19</v>
      </c>
      <c r="D14" s="3" t="s">
        <v>8</v>
      </c>
    </row>
    <row r="15" spans="1:4" x14ac:dyDescent="0.3">
      <c r="A15" s="8">
        <v>6</v>
      </c>
      <c r="B15" s="10" t="s">
        <v>29</v>
      </c>
      <c r="C15" s="3" t="s">
        <v>21</v>
      </c>
      <c r="D15" s="3" t="s">
        <v>6</v>
      </c>
    </row>
    <row r="16" spans="1:4" x14ac:dyDescent="0.3">
      <c r="A16" s="12"/>
      <c r="B16" s="13" t="s">
        <v>29</v>
      </c>
      <c r="C16" s="3" t="s">
        <v>20</v>
      </c>
      <c r="D16" s="3" t="s">
        <v>15</v>
      </c>
    </row>
    <row r="17" spans="1:4" x14ac:dyDescent="0.3">
      <c r="A17" s="9"/>
      <c r="B17" s="11" t="s">
        <v>29</v>
      </c>
      <c r="C17" s="3" t="s">
        <v>22</v>
      </c>
      <c r="D17" s="3" t="s">
        <v>8</v>
      </c>
    </row>
    <row r="18" spans="1:4" x14ac:dyDescent="0.3">
      <c r="A18" s="8">
        <v>7</v>
      </c>
      <c r="B18" s="10" t="s">
        <v>30</v>
      </c>
      <c r="C18" s="3" t="s">
        <v>23</v>
      </c>
      <c r="D18" s="3" t="s">
        <v>6</v>
      </c>
    </row>
    <row r="19" spans="1:4" x14ac:dyDescent="0.3">
      <c r="A19" s="9"/>
      <c r="B19" s="11" t="s">
        <v>30</v>
      </c>
      <c r="C19" s="3" t="s">
        <v>24</v>
      </c>
      <c r="D19" s="3" t="s">
        <v>10</v>
      </c>
    </row>
    <row r="20" spans="1:4" x14ac:dyDescent="0.3">
      <c r="A20" s="8">
        <v>8</v>
      </c>
      <c r="B20" s="10" t="s">
        <v>31</v>
      </c>
      <c r="C20" s="3" t="s">
        <v>59</v>
      </c>
      <c r="D20" s="3" t="s">
        <v>15</v>
      </c>
    </row>
    <row r="21" spans="1:4" x14ac:dyDescent="0.3">
      <c r="A21" s="9"/>
      <c r="B21" s="11" t="s">
        <v>31</v>
      </c>
      <c r="C21" s="3" t="s">
        <v>44</v>
      </c>
      <c r="D21" s="3" t="s">
        <v>10</v>
      </c>
    </row>
    <row r="22" spans="1:4" x14ac:dyDescent="0.3">
      <c r="A22" s="8">
        <v>9</v>
      </c>
      <c r="B22" s="10" t="s">
        <v>45</v>
      </c>
      <c r="C22" s="3" t="s">
        <v>32</v>
      </c>
      <c r="D22" s="3" t="s">
        <v>6</v>
      </c>
    </row>
    <row r="23" spans="1:4" x14ac:dyDescent="0.3">
      <c r="A23" s="9">
        <v>9</v>
      </c>
      <c r="B23" s="11" t="s">
        <v>45</v>
      </c>
      <c r="C23" s="3" t="s">
        <v>33</v>
      </c>
      <c r="D23" s="3" t="s">
        <v>8</v>
      </c>
    </row>
    <row r="24" spans="1:4" x14ac:dyDescent="0.3">
      <c r="A24" s="8">
        <v>10</v>
      </c>
      <c r="B24" s="10" t="s">
        <v>46</v>
      </c>
      <c r="C24" s="3" t="s">
        <v>34</v>
      </c>
      <c r="D24" s="3" t="s">
        <v>10</v>
      </c>
    </row>
    <row r="25" spans="1:4" x14ac:dyDescent="0.3">
      <c r="A25" s="9">
        <v>10</v>
      </c>
      <c r="B25" s="11" t="s">
        <v>46</v>
      </c>
      <c r="C25" s="3" t="s">
        <v>35</v>
      </c>
      <c r="D25" s="3" t="s">
        <v>15</v>
      </c>
    </row>
    <row r="26" spans="1:4" x14ac:dyDescent="0.3">
      <c r="A26" s="8">
        <v>11</v>
      </c>
      <c r="B26" s="10" t="s">
        <v>47</v>
      </c>
      <c r="C26" s="3" t="s">
        <v>37</v>
      </c>
      <c r="D26" s="3" t="s">
        <v>6</v>
      </c>
    </row>
    <row r="27" spans="1:4" x14ac:dyDescent="0.3">
      <c r="A27" s="12">
        <v>11</v>
      </c>
      <c r="B27" s="13" t="s">
        <v>47</v>
      </c>
      <c r="C27" s="3" t="s">
        <v>36</v>
      </c>
      <c r="D27" s="3" t="s">
        <v>15</v>
      </c>
    </row>
    <row r="28" spans="1:4" x14ac:dyDescent="0.3">
      <c r="A28" s="9">
        <v>11</v>
      </c>
      <c r="B28" s="11" t="s">
        <v>47</v>
      </c>
      <c r="C28" s="3" t="s">
        <v>16</v>
      </c>
      <c r="D28" s="3" t="s">
        <v>10</v>
      </c>
    </row>
    <row r="29" spans="1:4" x14ac:dyDescent="0.3">
      <c r="A29" s="8">
        <v>12</v>
      </c>
      <c r="B29" s="10" t="s">
        <v>48</v>
      </c>
      <c r="C29" t="s">
        <v>38</v>
      </c>
      <c r="D29" s="3" t="s">
        <v>6</v>
      </c>
    </row>
    <row r="30" spans="1:4" x14ac:dyDescent="0.3">
      <c r="A30" s="9">
        <v>12</v>
      </c>
      <c r="B30" s="11" t="s">
        <v>48</v>
      </c>
      <c r="C30" s="3" t="s">
        <v>19</v>
      </c>
      <c r="D30" s="3" t="s">
        <v>8</v>
      </c>
    </row>
    <row r="31" spans="1:4" x14ac:dyDescent="0.3">
      <c r="A31" s="8">
        <v>13</v>
      </c>
      <c r="B31" s="10" t="s">
        <v>49</v>
      </c>
      <c r="C31" s="3" t="s">
        <v>17</v>
      </c>
      <c r="D31" s="3" t="s">
        <v>15</v>
      </c>
    </row>
    <row r="32" spans="1:4" x14ac:dyDescent="0.3">
      <c r="A32" s="9">
        <v>13</v>
      </c>
      <c r="B32" s="11" t="s">
        <v>49</v>
      </c>
      <c r="C32" s="3" t="s">
        <v>22</v>
      </c>
      <c r="D32" s="3" t="s">
        <v>8</v>
      </c>
    </row>
    <row r="33" spans="1:4" x14ac:dyDescent="0.3">
      <c r="A33" s="8">
        <v>14</v>
      </c>
      <c r="B33" s="10" t="s">
        <v>50</v>
      </c>
      <c r="C33" s="3" t="s">
        <v>9</v>
      </c>
      <c r="D33" s="3" t="s">
        <v>10</v>
      </c>
    </row>
    <row r="34" spans="1:4" x14ac:dyDescent="0.3">
      <c r="A34" s="9">
        <v>14</v>
      </c>
      <c r="B34" s="11" t="s">
        <v>50</v>
      </c>
      <c r="C34" s="3" t="s">
        <v>7</v>
      </c>
      <c r="D34" s="3" t="s">
        <v>8</v>
      </c>
    </row>
    <row r="35" spans="1:4" x14ac:dyDescent="0.3">
      <c r="A35" s="8">
        <v>15</v>
      </c>
      <c r="B35" s="10" t="s">
        <v>51</v>
      </c>
      <c r="C35" s="3" t="s">
        <v>39</v>
      </c>
      <c r="D35" s="3" t="s">
        <v>6</v>
      </c>
    </row>
    <row r="36" spans="1:4" x14ac:dyDescent="0.3">
      <c r="A36" s="12">
        <v>15</v>
      </c>
      <c r="B36" s="13" t="s">
        <v>51</v>
      </c>
      <c r="C36" s="3" t="s">
        <v>40</v>
      </c>
      <c r="D36" s="3" t="s">
        <v>15</v>
      </c>
    </row>
    <row r="37" spans="1:4" x14ac:dyDescent="0.3">
      <c r="A37" s="9">
        <v>15</v>
      </c>
      <c r="B37" s="11" t="s">
        <v>51</v>
      </c>
      <c r="C37" s="3" t="s">
        <v>24</v>
      </c>
      <c r="D37" s="3" t="s">
        <v>10</v>
      </c>
    </row>
    <row r="38" spans="1:4" x14ac:dyDescent="0.3">
      <c r="A38" s="8">
        <v>16</v>
      </c>
      <c r="B38" s="10" t="s">
        <v>52</v>
      </c>
      <c r="C38" s="3" t="s">
        <v>41</v>
      </c>
      <c r="D38" s="3" t="s">
        <v>6</v>
      </c>
    </row>
    <row r="39" spans="1:4" x14ac:dyDescent="0.3">
      <c r="A39" s="9">
        <v>16</v>
      </c>
      <c r="B39" s="11" t="s">
        <v>52</v>
      </c>
      <c r="C39" s="3" t="s">
        <v>42</v>
      </c>
      <c r="D39" s="3" t="s">
        <v>8</v>
      </c>
    </row>
    <row r="40" spans="1:4" x14ac:dyDescent="0.3">
      <c r="A40" s="8">
        <v>17</v>
      </c>
      <c r="B40" s="10" t="s">
        <v>53</v>
      </c>
      <c r="C40" s="3" t="s">
        <v>16</v>
      </c>
      <c r="D40" s="3" t="s">
        <v>10</v>
      </c>
    </row>
    <row r="41" spans="1:4" x14ac:dyDescent="0.3">
      <c r="A41" s="9">
        <v>17</v>
      </c>
      <c r="B41" s="11" t="s">
        <v>53</v>
      </c>
      <c r="C41" s="3" t="s">
        <v>19</v>
      </c>
      <c r="D41" s="3" t="s">
        <v>8</v>
      </c>
    </row>
    <row r="42" spans="1:4" x14ac:dyDescent="0.3">
      <c r="A42" s="8">
        <v>18</v>
      </c>
      <c r="B42" s="10" t="s">
        <v>54</v>
      </c>
      <c r="C42" s="3" t="s">
        <v>43</v>
      </c>
      <c r="D42" s="3" t="s">
        <v>6</v>
      </c>
    </row>
    <row r="43" spans="1:4" x14ac:dyDescent="0.3">
      <c r="A43" s="12">
        <v>18</v>
      </c>
      <c r="B43" s="13" t="s">
        <v>54</v>
      </c>
      <c r="C43" s="3" t="s">
        <v>20</v>
      </c>
      <c r="D43" s="3" t="s">
        <v>15</v>
      </c>
    </row>
    <row r="44" spans="1:4" x14ac:dyDescent="0.3">
      <c r="A44" s="9">
        <v>18</v>
      </c>
      <c r="B44" s="11" t="s">
        <v>54</v>
      </c>
      <c r="C44" s="3" t="s">
        <v>44</v>
      </c>
      <c r="D44" s="3" t="s">
        <v>10</v>
      </c>
    </row>
    <row r="45" spans="1:4" x14ac:dyDescent="0.3">
      <c r="A45" s="8">
        <v>19</v>
      </c>
      <c r="B45" s="10" t="s">
        <v>55</v>
      </c>
      <c r="C45" s="3" t="s">
        <v>56</v>
      </c>
      <c r="D45" s="3" t="s">
        <v>15</v>
      </c>
    </row>
    <row r="46" spans="1:4" x14ac:dyDescent="0.3">
      <c r="A46" s="9">
        <v>19</v>
      </c>
      <c r="B46" s="11" t="s">
        <v>55</v>
      </c>
      <c r="C46" s="3" t="s">
        <v>22</v>
      </c>
      <c r="D46" s="3" t="s">
        <v>8</v>
      </c>
    </row>
    <row r="47" spans="1:4" x14ac:dyDescent="0.3">
      <c r="A47" s="8">
        <v>20</v>
      </c>
      <c r="B47" s="10" t="s">
        <v>57</v>
      </c>
      <c r="C47" s="3" t="s">
        <v>58</v>
      </c>
      <c r="D47" s="3" t="s">
        <v>6</v>
      </c>
    </row>
    <row r="48" spans="1:4" x14ac:dyDescent="0.3">
      <c r="A48" s="9">
        <v>20</v>
      </c>
      <c r="B48" s="11" t="s">
        <v>57</v>
      </c>
      <c r="C48" s="3" t="s">
        <v>9</v>
      </c>
      <c r="D48" s="3" t="s">
        <v>10</v>
      </c>
    </row>
  </sheetData>
  <mergeCells count="40">
    <mergeCell ref="A2:A4"/>
    <mergeCell ref="B2:B4"/>
    <mergeCell ref="B5:B6"/>
    <mergeCell ref="A5:A6"/>
    <mergeCell ref="A7:A9"/>
    <mergeCell ref="B7:B9"/>
    <mergeCell ref="A10:A12"/>
    <mergeCell ref="B10:B12"/>
    <mergeCell ref="A15:A17"/>
    <mergeCell ref="B15:B17"/>
    <mergeCell ref="A26:A28"/>
    <mergeCell ref="B26:B28"/>
    <mergeCell ref="A22:A23"/>
    <mergeCell ref="B22:B23"/>
    <mergeCell ref="A24:A25"/>
    <mergeCell ref="B24:B25"/>
    <mergeCell ref="A35:A37"/>
    <mergeCell ref="B35:B37"/>
    <mergeCell ref="A42:A44"/>
    <mergeCell ref="B42:B44"/>
    <mergeCell ref="A13:A14"/>
    <mergeCell ref="B13:B14"/>
    <mergeCell ref="A18:A19"/>
    <mergeCell ref="B18:B19"/>
    <mergeCell ref="A20:A21"/>
    <mergeCell ref="B20:B21"/>
    <mergeCell ref="A29:A30"/>
    <mergeCell ref="B29:B30"/>
    <mergeCell ref="A31:A32"/>
    <mergeCell ref="B31:B32"/>
    <mergeCell ref="A33:A34"/>
    <mergeCell ref="B33:B34"/>
    <mergeCell ref="A47:A48"/>
    <mergeCell ref="B47:B48"/>
    <mergeCell ref="A38:A39"/>
    <mergeCell ref="B38:B39"/>
    <mergeCell ref="A40:A41"/>
    <mergeCell ref="B40:B41"/>
    <mergeCell ref="A45:A46"/>
    <mergeCell ref="B45:B4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C612-6A9E-4621-87A7-626D106ED289}">
  <dimension ref="A1:C29"/>
  <sheetViews>
    <sheetView workbookViewId="0">
      <selection activeCell="D11" sqref="D11"/>
    </sheetView>
  </sheetViews>
  <sheetFormatPr defaultRowHeight="14.4" x14ac:dyDescent="0.3"/>
  <cols>
    <col min="1" max="1" width="26.6640625" bestFit="1" customWidth="1"/>
    <col min="2" max="2" width="40" bestFit="1" customWidth="1"/>
    <col min="3" max="3" width="26.88671875" bestFit="1" customWidth="1"/>
  </cols>
  <sheetData>
    <row r="1" spans="1:3" x14ac:dyDescent="0.3">
      <c r="A1" s="1" t="s">
        <v>60</v>
      </c>
    </row>
    <row r="3" spans="1:3" s="1" customFormat="1" x14ac:dyDescent="0.3">
      <c r="A3" s="2" t="s">
        <v>61</v>
      </c>
      <c r="B3" s="2" t="s">
        <v>62</v>
      </c>
    </row>
    <row r="4" spans="1:3" x14ac:dyDescent="0.3">
      <c r="A4" s="3" t="s">
        <v>63</v>
      </c>
      <c r="B4" s="3" t="s">
        <v>64</v>
      </c>
    </row>
    <row r="5" spans="1:3" x14ac:dyDescent="0.3">
      <c r="A5" s="3" t="s">
        <v>65</v>
      </c>
      <c r="B5" s="3" t="s">
        <v>66</v>
      </c>
    </row>
    <row r="6" spans="1:3" x14ac:dyDescent="0.3">
      <c r="A6" s="3" t="s">
        <v>67</v>
      </c>
      <c r="B6" s="3" t="s">
        <v>68</v>
      </c>
    </row>
    <row r="7" spans="1:3" x14ac:dyDescent="0.3">
      <c r="A7" s="3" t="s">
        <v>69</v>
      </c>
      <c r="B7" s="3" t="s">
        <v>70</v>
      </c>
    </row>
    <row r="8" spans="1:3" x14ac:dyDescent="0.3">
      <c r="A8" s="3" t="s">
        <v>71</v>
      </c>
      <c r="B8" s="3" t="s">
        <v>72</v>
      </c>
    </row>
    <row r="10" spans="1:3" x14ac:dyDescent="0.3">
      <c r="A10" s="1" t="s">
        <v>73</v>
      </c>
    </row>
    <row r="12" spans="1:3" s="1" customFormat="1" x14ac:dyDescent="0.3">
      <c r="A12" s="2" t="s">
        <v>3</v>
      </c>
      <c r="B12" s="2" t="s">
        <v>74</v>
      </c>
      <c r="C12" s="2" t="s">
        <v>75</v>
      </c>
    </row>
    <row r="13" spans="1:3" x14ac:dyDescent="0.3">
      <c r="A13" s="3" t="s">
        <v>6</v>
      </c>
      <c r="B13" s="3" t="s">
        <v>76</v>
      </c>
      <c r="C13" s="3" t="s">
        <v>5</v>
      </c>
    </row>
    <row r="14" spans="1:3" x14ac:dyDescent="0.3">
      <c r="A14" s="3" t="s">
        <v>8</v>
      </c>
      <c r="B14" s="3" t="s">
        <v>77</v>
      </c>
      <c r="C14" s="3" t="s">
        <v>7</v>
      </c>
    </row>
    <row r="15" spans="1:3" x14ac:dyDescent="0.3">
      <c r="A15" s="3" t="s">
        <v>10</v>
      </c>
      <c r="B15" s="3" t="s">
        <v>78</v>
      </c>
      <c r="C15" s="3" t="s">
        <v>9</v>
      </c>
    </row>
    <row r="16" spans="1:3" x14ac:dyDescent="0.3">
      <c r="A16" s="3" t="s">
        <v>15</v>
      </c>
      <c r="B16" s="3" t="s">
        <v>79</v>
      </c>
      <c r="C16" s="3" t="s">
        <v>17</v>
      </c>
    </row>
    <row r="18" spans="1:3" x14ac:dyDescent="0.3">
      <c r="A18" s="1" t="s">
        <v>80</v>
      </c>
    </row>
    <row r="20" spans="1:3" s="1" customFormat="1" x14ac:dyDescent="0.3">
      <c r="A20" s="2" t="s">
        <v>81</v>
      </c>
      <c r="B20" s="2" t="s">
        <v>62</v>
      </c>
      <c r="C20" s="2" t="s">
        <v>75</v>
      </c>
    </row>
    <row r="21" spans="1:3" x14ac:dyDescent="0.3">
      <c r="A21" s="3" t="s">
        <v>82</v>
      </c>
      <c r="B21" s="3" t="s">
        <v>83</v>
      </c>
      <c r="C21" s="3" t="s">
        <v>84</v>
      </c>
    </row>
    <row r="22" spans="1:3" x14ac:dyDescent="0.3">
      <c r="A22" s="3" t="s">
        <v>85</v>
      </c>
      <c r="B22" s="3" t="s">
        <v>86</v>
      </c>
      <c r="C22" s="3" t="s">
        <v>87</v>
      </c>
    </row>
    <row r="23" spans="1:3" x14ac:dyDescent="0.3">
      <c r="A23" s="3" t="s">
        <v>88</v>
      </c>
      <c r="B23" s="3" t="s">
        <v>89</v>
      </c>
      <c r="C23" s="3" t="s">
        <v>90</v>
      </c>
    </row>
    <row r="25" spans="1:3" x14ac:dyDescent="0.3">
      <c r="A25" s="1" t="s">
        <v>91</v>
      </c>
    </row>
    <row r="27" spans="1:3" s="1" customFormat="1" x14ac:dyDescent="0.3">
      <c r="A27" s="2" t="s">
        <v>1</v>
      </c>
      <c r="B27" s="2" t="s">
        <v>2</v>
      </c>
      <c r="C27" s="2" t="s">
        <v>3</v>
      </c>
    </row>
    <row r="28" spans="1:3" x14ac:dyDescent="0.3">
      <c r="A28" s="3" t="s">
        <v>92</v>
      </c>
      <c r="B28" s="3" t="s">
        <v>5</v>
      </c>
      <c r="C28" s="3" t="s">
        <v>6</v>
      </c>
    </row>
    <row r="29" spans="1:3" x14ac:dyDescent="0.3">
      <c r="A29" s="3" t="s">
        <v>92</v>
      </c>
      <c r="B29" s="3" t="s">
        <v>7</v>
      </c>
      <c r="C29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2BAF-7B42-44AF-B124-37C74A9EC7AA}">
  <dimension ref="A1:C6"/>
  <sheetViews>
    <sheetView workbookViewId="0">
      <selection activeCell="E9" sqref="E9"/>
    </sheetView>
  </sheetViews>
  <sheetFormatPr defaultRowHeight="14.4" x14ac:dyDescent="0.3"/>
  <cols>
    <col min="1" max="1" width="14" bestFit="1" customWidth="1"/>
    <col min="2" max="2" width="5.88671875" bestFit="1" customWidth="1"/>
    <col min="3" max="3" width="10.109375" bestFit="1" customWidth="1"/>
  </cols>
  <sheetData>
    <row r="1" spans="1:3" s="1" customFormat="1" x14ac:dyDescent="0.3">
      <c r="A1" s="2" t="s">
        <v>93</v>
      </c>
      <c r="B1" s="2" t="s">
        <v>94</v>
      </c>
      <c r="C1" s="2" t="s">
        <v>95</v>
      </c>
    </row>
    <row r="2" spans="1:3" x14ac:dyDescent="0.3">
      <c r="A2" s="3" t="s">
        <v>6</v>
      </c>
      <c r="B2" s="3">
        <f>COUNTIF(Data!$D:$D,"person")</f>
        <v>13</v>
      </c>
      <c r="C2" s="14">
        <f>B2/B6</f>
        <v>0.27659574468085107</v>
      </c>
    </row>
    <row r="3" spans="1:3" x14ac:dyDescent="0.3">
      <c r="A3" s="3" t="s">
        <v>8</v>
      </c>
      <c r="B3" s="3">
        <f>COUNTIF(Data!$D:$D,"LOCATION")</f>
        <v>11</v>
      </c>
      <c r="C3" s="14">
        <f>B3/B6</f>
        <v>0.23404255319148937</v>
      </c>
    </row>
    <row r="4" spans="1:3" x14ac:dyDescent="0.3">
      <c r="A4" s="3" t="s">
        <v>10</v>
      </c>
      <c r="B4" s="3">
        <f>COUNTIF(Data!$D:$D,"ORGANIZATION")</f>
        <v>13</v>
      </c>
      <c r="C4" s="14">
        <f>B4/B6</f>
        <v>0.27659574468085107</v>
      </c>
    </row>
    <row r="5" spans="1:3" x14ac:dyDescent="0.3">
      <c r="A5" s="3" t="s">
        <v>15</v>
      </c>
      <c r="B5" s="3">
        <f>COUNTIF(Data!$D:$D,"DATE")</f>
        <v>10</v>
      </c>
      <c r="C5" s="14">
        <f>B5/B6</f>
        <v>0.21276595744680851</v>
      </c>
    </row>
    <row r="6" spans="1:3" x14ac:dyDescent="0.3">
      <c r="A6" s="2" t="s">
        <v>96</v>
      </c>
      <c r="B6" s="2">
        <f>SUM(B2:B5)</f>
        <v>47</v>
      </c>
      <c r="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Guideline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Kim</dc:creator>
  <cp:lastModifiedBy>Joy Kim</cp:lastModifiedBy>
  <dcterms:created xsi:type="dcterms:W3CDTF">2026-02-25T16:52:16Z</dcterms:created>
  <dcterms:modified xsi:type="dcterms:W3CDTF">2026-02-25T17:21:28Z</dcterms:modified>
</cp:coreProperties>
</file>